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B81B223D-90DC-4CA6-999C-2433973E8BD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ivot Table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2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<sst xmlns="http://schemas.openxmlformats.org/spreadsheetml/2006/main" count="169" uniqueCount="38">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</sst>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2" fontId="0" fillId="0" borderId="10" xfId="0" applyNumberFormat="1" applyBorder="1"/>
    <xf numFmtId="0" fontId="16" fillId="33" borderId="11" xfId="0" applyFont="1" applyFill="1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7.074938078702" createdVersion="8" refreshedVersion="8" minRefreshableVersion="3" recordCount="49" xr:uid="{A8ED5BD8-AC46-4606-9775-4621DA23742E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F4C55-D1A8-46A8-BF95-4650EDE64215}" name="PivotTable1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B103F-0CED-4F68-AFD1-3624FA6ED790}" name="PivotTable2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266A-E05F-48F0-94B3-D44390060802}" name="PivotTable2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2F6AE-7443-4EE5-A10F-081E150BFD40}" name="Table1" displayName="Table1" ref="A1:C50" totalsRowShown="0">
  <autoFilter ref="A1:C50" xr:uid="{0D92F6AE-7443-4EE5-A10F-081E150BFD40}"/>
  <tableColumns count="3">
    <tableColumn id="1" xr3:uid="{C3BDDCF0-4241-4DBC-8C03-219E3E2A8DA5}" name="Department"/>
    <tableColumn id="2" xr3:uid="{4FC443F9-9A8B-476B-93D9-5A98995DE546}" name="Equipment Class"/>
    <tableColumn id="3" xr3:uid="{F9A17E81-05F7-4201-B45D-F45652065FF0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531B-6A8E-4A02-8458-9EDD4F24DB2B}">
  <dimension ref="A3:B16"/>
  <sheetViews>
    <sheetView workbookViewId="0">
      <selection activeCell="B4" sqref="B4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1221</v>
      </c>
    </row>
    <row r="5" spans="1:2">
      <c r="A5" t="s">
        <v>3</v>
      </c>
      <c r="B5" s="5">
        <v>109</v>
      </c>
    </row>
    <row r="6" spans="1:2">
      <c r="A6" t="s">
        <v>4</v>
      </c>
      <c r="B6" s="5">
        <v>85</v>
      </c>
    </row>
    <row r="7" spans="1:2">
      <c r="A7" t="s">
        <v>5</v>
      </c>
      <c r="B7" s="5">
        <v>56</v>
      </c>
    </row>
    <row r="8" spans="1:2">
      <c r="A8" t="s">
        <v>6</v>
      </c>
      <c r="B8" s="5">
        <v>45</v>
      </c>
    </row>
    <row r="9" spans="1:2">
      <c r="A9" t="s">
        <v>7</v>
      </c>
      <c r="B9" s="5">
        <v>35</v>
      </c>
    </row>
    <row r="10" spans="1:2">
      <c r="A10" t="s">
        <v>8</v>
      </c>
      <c r="B10" s="5">
        <v>16</v>
      </c>
    </row>
    <row r="11" spans="1:2">
      <c r="A11" t="s">
        <v>9</v>
      </c>
      <c r="B11" s="5">
        <v>6</v>
      </c>
    </row>
    <row r="12" spans="1:2">
      <c r="A12" t="s">
        <v>10</v>
      </c>
      <c r="B12" s="5">
        <v>5</v>
      </c>
    </row>
    <row r="13" spans="1:2">
      <c r="A13" t="s">
        <v>11</v>
      </c>
      <c r="B13" s="5">
        <v>2</v>
      </c>
    </row>
    <row r="14" spans="1:2">
      <c r="A14" t="s">
        <v>12</v>
      </c>
      <c r="B14" s="5">
        <v>1</v>
      </c>
    </row>
    <row r="15" spans="1:2">
      <c r="A15" t="s">
        <v>13</v>
      </c>
      <c r="B15" s="5">
        <v>1</v>
      </c>
    </row>
    <row r="16" spans="1:2">
      <c r="A16" t="s">
        <v>14</v>
      </c>
      <c r="B16" s="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8FCF-1CB9-44A5-96E5-C6B42C7D06C1}">
  <dimension ref="A3:C25"/>
  <sheetViews>
    <sheetView workbookViewId="0">
      <selection activeCell="A24" sqref="A24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4" t="s">
        <v>0</v>
      </c>
      <c r="B3" s="4" t="s">
        <v>15</v>
      </c>
      <c r="C3" t="s">
        <v>1</v>
      </c>
    </row>
    <row r="4" spans="1:3">
      <c r="A4" t="s">
        <v>2</v>
      </c>
      <c r="B4" t="s">
        <v>16</v>
      </c>
      <c r="C4" s="5">
        <v>5</v>
      </c>
    </row>
    <row r="5" spans="1:3">
      <c r="B5" t="s">
        <v>17</v>
      </c>
      <c r="C5" s="5">
        <v>248</v>
      </c>
    </row>
    <row r="6" spans="1:3">
      <c r="B6" t="s">
        <v>18</v>
      </c>
      <c r="C6" s="5">
        <v>98</v>
      </c>
    </row>
    <row r="7" spans="1:3">
      <c r="B7" t="s">
        <v>19</v>
      </c>
      <c r="C7" s="5">
        <v>276</v>
      </c>
    </row>
    <row r="8" spans="1:3">
      <c r="B8" t="s">
        <v>20</v>
      </c>
      <c r="C8" s="5">
        <v>93</v>
      </c>
    </row>
    <row r="9" spans="1:3">
      <c r="B9" t="s">
        <v>21</v>
      </c>
      <c r="C9" s="5">
        <v>37</v>
      </c>
    </row>
    <row r="10" spans="1:3">
      <c r="B10" t="s">
        <v>22</v>
      </c>
      <c r="C10" s="5">
        <v>53</v>
      </c>
    </row>
    <row r="11" spans="1:3">
      <c r="B11" t="s">
        <v>23</v>
      </c>
      <c r="C11" s="5">
        <v>379</v>
      </c>
    </row>
    <row r="12" spans="1:3">
      <c r="B12" t="s">
        <v>24</v>
      </c>
      <c r="C12" s="5">
        <v>32</v>
      </c>
    </row>
    <row r="13" spans="1:3">
      <c r="A13" t="s">
        <v>25</v>
      </c>
      <c r="C13" s="5">
        <v>1221</v>
      </c>
    </row>
    <row r="14" spans="1:3">
      <c r="A14" t="s">
        <v>3</v>
      </c>
      <c r="C14" s="5">
        <v>109</v>
      </c>
    </row>
    <row r="15" spans="1:3">
      <c r="A15" t="s">
        <v>4</v>
      </c>
      <c r="C15" s="5">
        <v>85</v>
      </c>
    </row>
    <row r="16" spans="1:3">
      <c r="A16" t="s">
        <v>5</v>
      </c>
      <c r="C16" s="5">
        <v>56</v>
      </c>
    </row>
    <row r="17" spans="1:3">
      <c r="A17" t="s">
        <v>6</v>
      </c>
      <c r="C17" s="5">
        <v>45</v>
      </c>
    </row>
    <row r="18" spans="1:3">
      <c r="A18" t="s">
        <v>7</v>
      </c>
      <c r="C18" s="5">
        <v>35</v>
      </c>
    </row>
    <row r="19" spans="1:3">
      <c r="A19" t="s">
        <v>8</v>
      </c>
      <c r="C19" s="5">
        <v>16</v>
      </c>
    </row>
    <row r="20" spans="1:3">
      <c r="A20" t="s">
        <v>9</v>
      </c>
      <c r="C20" s="5">
        <v>6</v>
      </c>
    </row>
    <row r="21" spans="1:3">
      <c r="A21" t="s">
        <v>10</v>
      </c>
      <c r="C21" s="5">
        <v>5</v>
      </c>
    </row>
    <row r="22" spans="1:3">
      <c r="A22" t="s">
        <v>11</v>
      </c>
      <c r="C22" s="5">
        <v>2</v>
      </c>
    </row>
    <row r="23" spans="1:3">
      <c r="A23" t="s">
        <v>12</v>
      </c>
      <c r="C23" s="5">
        <v>1</v>
      </c>
    </row>
    <row r="24" spans="1:3">
      <c r="A24" t="s">
        <v>13</v>
      </c>
      <c r="C24" s="5">
        <v>1</v>
      </c>
    </row>
    <row r="25" spans="1:3">
      <c r="A25" t="s">
        <v>14</v>
      </c>
      <c r="C25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4713-28FB-4AF0-B7A0-1767FBD888C1}">
  <dimension ref="A3:C21"/>
  <sheetViews>
    <sheetView tabSelected="1" workbookViewId="0">
      <selection activeCell="B5" sqref="B5"/>
    </sheetView>
  </sheetViews>
  <sheetFormatPr defaultRowHeight="15"/>
  <cols>
    <col min="1" max="1" width="25.42578125" bestFit="1" customWidth="1"/>
    <col min="2" max="2" width="18.42578125" bestFit="1" customWidth="1"/>
    <col min="3" max="3" width="23.140625" bestFit="1" customWidth="1"/>
    <col min="4" max="4" width="13.42578125" bestFit="1" customWidth="1"/>
    <col min="5" max="5" width="13.5703125" bestFit="1" customWidth="1"/>
    <col min="6" max="6" width="29.140625" bestFit="1" customWidth="1"/>
    <col min="7" max="7" width="10.5703125" bestFit="1" customWidth="1"/>
    <col min="8" max="8" width="18.7109375" bestFit="1" customWidth="1"/>
    <col min="9" max="9" width="8.42578125" bestFit="1" customWidth="1"/>
    <col min="10" max="10" width="20.5703125" bestFit="1" customWidth="1"/>
    <col min="11" max="11" width="13.28515625" bestFit="1" customWidth="1"/>
    <col min="12" max="12" width="26.140625" bestFit="1" customWidth="1"/>
    <col min="13" max="13" width="23.140625" bestFit="1" customWidth="1"/>
    <col min="14" max="14" width="11.42578125" bestFit="1" customWidth="1"/>
  </cols>
  <sheetData>
    <row r="3" spans="1:3">
      <c r="A3" s="4" t="s">
        <v>15</v>
      </c>
      <c r="B3" s="4" t="s">
        <v>0</v>
      </c>
      <c r="C3" t="s">
        <v>1</v>
      </c>
    </row>
    <row r="4" spans="1:3">
      <c r="A4" t="s">
        <v>16</v>
      </c>
      <c r="B4" t="s">
        <v>3</v>
      </c>
      <c r="C4" s="5">
        <v>9</v>
      </c>
    </row>
    <row r="5" spans="1:3">
      <c r="B5" t="s">
        <v>2</v>
      </c>
      <c r="C5" s="5">
        <v>5</v>
      </c>
    </row>
    <row r="6" spans="1:3">
      <c r="B6" t="s">
        <v>8</v>
      </c>
      <c r="C6" s="5">
        <v>1</v>
      </c>
    </row>
    <row r="7" spans="1:3">
      <c r="A7" t="s">
        <v>26</v>
      </c>
      <c r="C7" s="5">
        <v>15</v>
      </c>
    </row>
    <row r="8" spans="1:3">
      <c r="A8" t="s">
        <v>17</v>
      </c>
      <c r="C8" s="5">
        <v>290</v>
      </c>
    </row>
    <row r="9" spans="1:3">
      <c r="A9" t="s">
        <v>18</v>
      </c>
      <c r="C9" s="5">
        <v>100</v>
      </c>
    </row>
    <row r="10" spans="1:3">
      <c r="A10" t="s">
        <v>19</v>
      </c>
      <c r="C10" s="5">
        <v>283</v>
      </c>
    </row>
    <row r="11" spans="1:3">
      <c r="A11" t="s">
        <v>20</v>
      </c>
      <c r="C11" s="5">
        <v>150</v>
      </c>
    </row>
    <row r="12" spans="1:3">
      <c r="A12" t="s">
        <v>27</v>
      </c>
      <c r="C12" s="5">
        <v>4</v>
      </c>
    </row>
    <row r="13" spans="1:3">
      <c r="A13" t="s">
        <v>28</v>
      </c>
      <c r="C13" s="5">
        <v>1</v>
      </c>
    </row>
    <row r="14" spans="1:3">
      <c r="A14" t="s">
        <v>29</v>
      </c>
      <c r="C14" s="5">
        <v>47</v>
      </c>
    </row>
    <row r="15" spans="1:3">
      <c r="A15" t="s">
        <v>30</v>
      </c>
      <c r="C15" s="5">
        <v>20</v>
      </c>
    </row>
    <row r="16" spans="1:3">
      <c r="A16" t="s">
        <v>31</v>
      </c>
      <c r="C16" s="5">
        <v>8</v>
      </c>
    </row>
    <row r="17" spans="1:3">
      <c r="A17" t="s">
        <v>21</v>
      </c>
      <c r="C17" s="5">
        <v>130</v>
      </c>
    </row>
    <row r="18" spans="1:3">
      <c r="A18" t="s">
        <v>22</v>
      </c>
      <c r="C18" s="5">
        <v>90</v>
      </c>
    </row>
    <row r="19" spans="1:3">
      <c r="A19" t="s">
        <v>23</v>
      </c>
      <c r="C19" s="5">
        <v>379</v>
      </c>
    </row>
    <row r="20" spans="1:3">
      <c r="A20" t="s">
        <v>24</v>
      </c>
      <c r="C20" s="5">
        <v>65</v>
      </c>
    </row>
    <row r="21" spans="1:3">
      <c r="A21" t="s">
        <v>14</v>
      </c>
      <c r="C21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17" workbookViewId="0">
      <selection activeCell="G11" sqref="G11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15</v>
      </c>
      <c r="C1" t="s">
        <v>32</v>
      </c>
    </row>
    <row r="2" spans="1:3">
      <c r="A2" t="s">
        <v>6</v>
      </c>
      <c r="B2" t="s">
        <v>20</v>
      </c>
      <c r="C2">
        <v>21</v>
      </c>
    </row>
    <row r="3" spans="1:3">
      <c r="A3" t="s">
        <v>6</v>
      </c>
      <c r="B3" t="s">
        <v>22</v>
      </c>
      <c r="C3">
        <v>1</v>
      </c>
    </row>
    <row r="4" spans="1:3">
      <c r="A4" t="s">
        <v>6</v>
      </c>
      <c r="B4" t="s">
        <v>21</v>
      </c>
      <c r="C4">
        <v>23</v>
      </c>
    </row>
    <row r="5" spans="1:3">
      <c r="A5" t="s">
        <v>11</v>
      </c>
      <c r="B5" t="s">
        <v>21</v>
      </c>
      <c r="C5">
        <v>2</v>
      </c>
    </row>
    <row r="6" spans="1:3">
      <c r="A6" t="s">
        <v>9</v>
      </c>
      <c r="B6" t="s">
        <v>20</v>
      </c>
      <c r="C6">
        <v>3</v>
      </c>
    </row>
    <row r="7" spans="1:3">
      <c r="A7" t="s">
        <v>9</v>
      </c>
      <c r="B7" t="s">
        <v>24</v>
      </c>
      <c r="C7">
        <v>2</v>
      </c>
    </row>
    <row r="8" spans="1:3">
      <c r="A8" t="s">
        <v>9</v>
      </c>
      <c r="B8" t="s">
        <v>18</v>
      </c>
      <c r="C8">
        <v>1</v>
      </c>
    </row>
    <row r="9" spans="1:3">
      <c r="A9" t="s">
        <v>5</v>
      </c>
      <c r="B9" t="s">
        <v>24</v>
      </c>
      <c r="C9">
        <v>2</v>
      </c>
    </row>
    <row r="10" spans="1:3">
      <c r="A10" t="s">
        <v>5</v>
      </c>
      <c r="B10" t="s">
        <v>17</v>
      </c>
      <c r="C10">
        <v>42</v>
      </c>
    </row>
    <row r="11" spans="1:3">
      <c r="A11" t="s">
        <v>5</v>
      </c>
      <c r="B11" t="s">
        <v>22</v>
      </c>
      <c r="C11">
        <v>1</v>
      </c>
    </row>
    <row r="12" spans="1:3">
      <c r="A12" t="s">
        <v>5</v>
      </c>
      <c r="B12" t="s">
        <v>21</v>
      </c>
      <c r="C12">
        <v>11</v>
      </c>
    </row>
    <row r="13" spans="1:3">
      <c r="A13" t="s">
        <v>12</v>
      </c>
      <c r="B13" t="s">
        <v>22</v>
      </c>
      <c r="C13">
        <v>1</v>
      </c>
    </row>
    <row r="14" spans="1:3">
      <c r="A14" t="s">
        <v>3</v>
      </c>
      <c r="B14" t="s">
        <v>16</v>
      </c>
      <c r="C14">
        <v>9</v>
      </c>
    </row>
    <row r="15" spans="1:3">
      <c r="A15" t="s">
        <v>3</v>
      </c>
      <c r="B15" t="s">
        <v>22</v>
      </c>
      <c r="C15">
        <v>27</v>
      </c>
    </row>
    <row r="16" spans="1:3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  <row r="52" spans="1:3">
      <c r="B52" s="3" t="s">
        <v>33</v>
      </c>
      <c r="C52" s="1">
        <f>SUM(C2:C51)</f>
        <v>1582</v>
      </c>
    </row>
    <row r="53" spans="1:3">
      <c r="B53" s="3" t="s">
        <v>34</v>
      </c>
      <c r="C53" s="2">
        <f>AVERAGE(C2:C50)</f>
        <v>32.285714285714285</v>
      </c>
    </row>
    <row r="54" spans="1:3">
      <c r="B54" s="3" t="s">
        <v>35</v>
      </c>
      <c r="C54" s="1">
        <f>MIN(C2:C50)</f>
        <v>1</v>
      </c>
    </row>
    <row r="55" spans="1:3">
      <c r="B55" s="3" t="s">
        <v>36</v>
      </c>
      <c r="C55" s="1">
        <f>MAX(C2:C50)</f>
        <v>379</v>
      </c>
    </row>
    <row r="56" spans="1:3">
      <c r="B56" s="3" t="s">
        <v>37</v>
      </c>
      <c r="C56" s="1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2025-10-17T06:00:00Z</dcterms:modified>
  <cp:category/>
  <cp:contentStatus/>
</cp:coreProperties>
</file>